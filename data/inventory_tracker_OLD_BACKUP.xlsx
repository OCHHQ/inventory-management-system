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380" windowHeight="3980" tabRatio="600" firstSheet="0" activeTab="2" autoFilterDateGrouping="1"/>
  </bookViews>
  <sheets>
    <sheet name="Dashboard" sheetId="1" state="visible" r:id="rId1"/>
    <sheet name="Cashier Items" sheetId="2" state="visible" r:id="rId2"/>
    <sheet name="Cleaning Ite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₦#,##0;\(\₦#,##0\);\-"/>
    <numFmt numFmtId="165" formatCode="₦#,##0;(₦#,##0);-"/>
  </numFmts>
  <fonts count="1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2"/>
    </font>
    <font>
      <name val="Calibri"/>
      <b val="1"/>
      <color rgb="FFFF0000"/>
      <sz val="12"/>
    </font>
    <font>
      <b val="1"/>
    </font>
    <font>
      <b val="1"/>
      <color rgb="00000000"/>
    </font>
    <font>
      <b val="1"/>
      <color rgb="00FF0000"/>
      <sz val="12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9" fillId="2" borderId="0" pivotButton="0" quotePrefix="0" xfId="0"/>
    <xf numFmtId="164" fontId="0" fillId="0" borderId="0" pivotButton="0" quotePrefix="0" xfId="0"/>
    <xf numFmtId="0" fontId="9" fillId="3" borderId="0" pivotButton="0" quotePrefix="0" xfId="0"/>
    <xf numFmtId="0" fontId="8" fillId="0" borderId="0" pivotButton="0" quotePrefix="0" xfId="0"/>
    <xf numFmtId="164" fontId="1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/>
    </xf>
    <xf numFmtId="0" fontId="0" fillId="0" borderId="0" pivotButton="0" quotePrefix="0" xfId="0"/>
    <xf numFmtId="165" fontId="0" fillId="0" borderId="0" pivotButton="0" quotePrefix="0" xfId="0"/>
    <xf numFmtId="165" fontId="13" fillId="0" borderId="0" pivotButton="0" quotePrefix="0" xfId="0"/>
    <xf numFmtId="0" fontId="11" fillId="0" borderId="0" pivotButton="0" quotePrefix="0" xfId="0"/>
    <xf numFmtId="165" fontId="12" fillId="0" borderId="0" pivotButton="0" quotePrefix="0" xfId="0"/>
    <xf numFmtId="164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:D1"/>
    </sheetView>
  </sheetViews>
  <sheetFormatPr baseColWidth="8" defaultRowHeight="14.5"/>
  <cols>
    <col width="25" customWidth="1" style="15" min="1" max="1"/>
    <col width="20" customWidth="1" style="15" min="2" max="2"/>
  </cols>
  <sheetData>
    <row r="1" ht="21" customHeight="1" s="15">
      <c r="A1" s="14" t="inlineStr">
        <is>
          <t>INVENTORY DASHBOARD</t>
        </is>
      </c>
    </row>
    <row r="3">
      <c r="A3" t="inlineStr">
        <is>
          <t>Date:</t>
        </is>
      </c>
      <c r="B3" s="1" t="inlineStr">
        <is>
          <t>20th July, 2024</t>
        </is>
      </c>
    </row>
    <row r="5" ht="15.5" customHeight="1" s="15">
      <c r="A5" s="2" t="inlineStr">
        <is>
          <t>CASHIER ITEMS SUMMARY</t>
        </is>
      </c>
    </row>
    <row r="6">
      <c r="A6" t="inlineStr">
        <is>
          <t>Total Cost:</t>
        </is>
      </c>
      <c r="B6" s="3">
        <f>'Cashier Items'!E20</f>
        <v/>
      </c>
    </row>
    <row r="7">
      <c r="A7" t="inlineStr">
        <is>
          <t>Items to Reorder:</t>
        </is>
      </c>
      <c r="B7">
        <f>'Cashier Items'!E21</f>
        <v/>
      </c>
    </row>
    <row r="9" ht="15.5" customHeight="1" s="15">
      <c r="A9" s="4" t="inlineStr">
        <is>
          <t>CLEANING ITEMS SUMMARY</t>
        </is>
      </c>
    </row>
    <row r="10">
      <c r="A10" t="inlineStr">
        <is>
          <t>Total Cost:</t>
        </is>
      </c>
      <c r="B10" s="16">
        <f>'Cleaning Items'!E30</f>
        <v/>
      </c>
    </row>
    <row r="11">
      <c r="A11" t="inlineStr">
        <is>
          <t>Items to Reorder:</t>
        </is>
      </c>
      <c r="B11">
        <f>'Cleaning Items'!E31</f>
        <v/>
      </c>
    </row>
    <row r="13" ht="15.5" customHeight="1" s="15">
      <c r="A13" s="5" t="inlineStr">
        <is>
          <t>GRAND TOTAL</t>
        </is>
      </c>
      <c r="B13" s="17">
        <f>B6+B10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4.5"/>
  <cols>
    <col width="22" customWidth="1" style="15" min="1" max="1"/>
    <col width="12" customWidth="1" style="15" min="2" max="2"/>
    <col width="10" customWidth="1" style="15" min="3" max="3"/>
    <col width="15" customWidth="1" style="15" min="4" max="6"/>
    <col width="12" customWidth="1" style="15" min="7" max="7"/>
  </cols>
  <sheetData>
    <row r="1" ht="18.5" customHeight="1" s="15">
      <c r="A1" s="7" t="inlineStr">
        <is>
          <t>CASHIER INVENTORY TRACKER</t>
        </is>
      </c>
    </row>
    <row r="2">
      <c r="A2" t="inlineStr">
        <is>
          <t>Date: 20th July, 2024</t>
        </is>
      </c>
    </row>
    <row r="3">
      <c r="A3" t="inlineStr">
        <is>
          <t>Prepared by: Fatmintih Peace Amammun</t>
        </is>
      </c>
    </row>
    <row r="5">
      <c r="A5" s="8" t="inlineStr">
        <is>
          <t>Item Name</t>
        </is>
      </c>
      <c r="B5" s="8" t="inlineStr">
        <is>
          <t>Quantity</t>
        </is>
      </c>
      <c r="C5" s="8" t="inlineStr">
        <is>
          <t>Unit</t>
        </is>
      </c>
      <c r="D5" s="8" t="inlineStr">
        <is>
          <t>Unit Price (₦)</t>
        </is>
      </c>
      <c r="E5" s="8" t="inlineStr">
        <is>
          <t>Total Cost (₦)</t>
        </is>
      </c>
      <c r="F5" s="8" t="inlineStr">
        <is>
          <t>Reorder Level</t>
        </is>
      </c>
      <c r="G5" s="8" t="inlineStr">
        <is>
          <t>Status</t>
        </is>
      </c>
    </row>
    <row r="6">
      <c r="A6" t="inlineStr">
        <is>
          <t>Airforce</t>
        </is>
      </c>
      <c r="B6" t="inlineStr">
        <is>
          <t>#@52</t>
        </is>
      </c>
      <c r="C6" t="inlineStr">
        <is>
          <t>pic</t>
        </is>
      </c>
      <c r="D6" s="9" t="n"/>
      <c r="E6" s="10">
        <f>B6*D6</f>
        <v/>
      </c>
      <c r="F6" s="9" t="n">
        <v>10</v>
      </c>
      <c r="G6" s="11">
        <f>IF(B6&lt;F6,"REORDER","OK")</f>
        <v/>
      </c>
    </row>
    <row r="7">
      <c r="A7" t="inlineStr">
        <is>
          <t>Marker</t>
        </is>
      </c>
      <c r="B7" t="n">
        <v>15</v>
      </c>
      <c r="C7" t="inlineStr">
        <is>
          <t>pic</t>
        </is>
      </c>
      <c r="D7" s="9" t="n"/>
      <c r="E7" s="10">
        <f>B7*D7</f>
        <v/>
      </c>
      <c r="F7" s="9" t="n">
        <v>5</v>
      </c>
      <c r="G7" s="11">
        <f>IF(B7&lt;F7,"REORDER","OK")</f>
        <v/>
      </c>
    </row>
    <row r="8">
      <c r="A8" t="inlineStr">
        <is>
          <t>Biro</t>
        </is>
      </c>
      <c r="B8" t="n">
        <v>8</v>
      </c>
      <c r="C8" t="inlineStr">
        <is>
          <t>pic</t>
        </is>
      </c>
      <c r="D8" s="9" t="n"/>
      <c r="E8" s="10">
        <f>B8*D8</f>
        <v/>
      </c>
      <c r="F8" s="9" t="n">
        <v>10</v>
      </c>
      <c r="G8" s="11">
        <f>IF(B8&lt;F8,"REORDER","OK")</f>
        <v/>
      </c>
    </row>
    <row r="9">
      <c r="A9" t="inlineStr">
        <is>
          <t>Suspect-n-file</t>
        </is>
      </c>
      <c r="B9" t="n">
        <v>17</v>
      </c>
      <c r="C9" t="inlineStr">
        <is>
          <t>pic</t>
        </is>
      </c>
      <c r="D9" s="9" t="n"/>
      <c r="E9" s="10">
        <f>B9*D9</f>
        <v/>
      </c>
      <c r="F9" s="9" t="n">
        <v>5</v>
      </c>
      <c r="G9" s="11">
        <f>IF(B9&lt;F9,"REORDER","OK")</f>
        <v/>
      </c>
    </row>
    <row r="10">
      <c r="A10" t="inlineStr">
        <is>
          <t>Stamp</t>
        </is>
      </c>
      <c r="B10" t="n">
        <v>9</v>
      </c>
      <c r="C10" t="inlineStr">
        <is>
          <t>pic</t>
        </is>
      </c>
      <c r="D10" s="9" t="n"/>
      <c r="E10" s="10">
        <f>B10*D10</f>
        <v/>
      </c>
      <c r="F10" s="9" t="n">
        <v>3</v>
      </c>
      <c r="G10" s="11">
        <f>IF(B10&lt;F10,"REORDER","OK")</f>
        <v/>
      </c>
    </row>
    <row r="11">
      <c r="A11" t="inlineStr">
        <is>
          <t>A4 Paper</t>
        </is>
      </c>
      <c r="B11" t="n">
        <v>20</v>
      </c>
      <c r="C11" t="inlineStr">
        <is>
          <t>PAC</t>
        </is>
      </c>
      <c r="D11" s="9" t="n">
        <v>2500</v>
      </c>
      <c r="E11" s="10">
        <f>B11*D11</f>
        <v/>
      </c>
      <c r="F11" s="9" t="n">
        <v>5</v>
      </c>
      <c r="G11" s="11">
        <f>IF(B11&lt;F11,"REORDER","OK")</f>
        <v/>
      </c>
    </row>
    <row r="12">
      <c r="A12" t="inlineStr">
        <is>
          <t>Cellotape</t>
        </is>
      </c>
      <c r="B12" t="n">
        <v>55</v>
      </c>
      <c r="C12" t="inlineStr">
        <is>
          <t>pic</t>
        </is>
      </c>
      <c r="D12" s="9" t="n"/>
      <c r="E12" s="10">
        <f>B12*D12</f>
        <v/>
      </c>
      <c r="F12" s="9" t="n">
        <v>10</v>
      </c>
      <c r="G12" s="11">
        <f>IF(B12&lt;F12,"REORDER","OK")</f>
        <v/>
      </c>
    </row>
    <row r="13">
      <c r="A13" t="inlineStr">
        <is>
          <t>Clip/Banos</t>
        </is>
      </c>
      <c r="B13" t="n">
        <v>15</v>
      </c>
      <c r="C13" t="inlineStr">
        <is>
          <t>pic</t>
        </is>
      </c>
      <c r="D13" s="9" t="n"/>
      <c r="E13" s="10">
        <f>B13*D13</f>
        <v/>
      </c>
      <c r="F13" s="9" t="n">
        <v>10</v>
      </c>
      <c r="G13" s="11">
        <f>IF(B13&lt;F13,"REORDER","OK")</f>
        <v/>
      </c>
    </row>
    <row r="14">
      <c r="A14" t="inlineStr">
        <is>
          <t>Push Pin</t>
        </is>
      </c>
      <c r="B14" t="inlineStr">
        <is>
          <t>12 &amp; 3</t>
        </is>
      </c>
      <c r="C14" t="inlineStr">
        <is>
          <t>pic</t>
        </is>
      </c>
      <c r="D14" s="9" t="n"/>
      <c r="E14" s="10">
        <f>B14*D14</f>
        <v/>
      </c>
      <c r="F14" s="9" t="n">
        <v>10</v>
      </c>
      <c r="G14" s="11">
        <f>IF(B14&lt;F14,"REORDER","OK")</f>
        <v/>
      </c>
    </row>
    <row r="15">
      <c r="A15" t="inlineStr">
        <is>
          <t>Scissors</t>
        </is>
      </c>
      <c r="B15" t="n">
        <v>4</v>
      </c>
      <c r="C15" t="inlineStr">
        <is>
          <t>pic</t>
        </is>
      </c>
      <c r="D15" s="9" t="n"/>
      <c r="E15" s="10">
        <f>B15*D15</f>
        <v/>
      </c>
      <c r="F15" s="9" t="n">
        <v>2</v>
      </c>
      <c r="G15" s="11">
        <f>IF(B15&lt;F15,"REORDER","OK")</f>
        <v/>
      </c>
    </row>
    <row r="16">
      <c r="A16" t="inlineStr">
        <is>
          <t>Stapler Pin</t>
        </is>
      </c>
      <c r="B16" t="n">
        <v>2</v>
      </c>
      <c r="C16" t="inlineStr">
        <is>
          <t>pic</t>
        </is>
      </c>
      <c r="D16" s="9" t="n"/>
      <c r="E16" s="10">
        <f>B16*D16</f>
        <v/>
      </c>
      <c r="F16" s="9" t="n">
        <v>3</v>
      </c>
      <c r="G16" s="11">
        <f>IF(B16&lt;F16,"REORDER","OK")</f>
        <v/>
      </c>
    </row>
    <row r="17">
      <c r="A17" t="inlineStr">
        <is>
          <t>Paper Clips</t>
        </is>
      </c>
      <c r="B17" t="inlineStr">
        <is>
          <t>1 #13</t>
        </is>
      </c>
      <c r="C17" t="inlineStr">
        <is>
          <t>pic</t>
        </is>
      </c>
      <c r="D17" s="9" t="n"/>
      <c r="E17" s="10">
        <f>B17*D17</f>
        <v/>
      </c>
      <c r="F17" s="9" t="n">
        <v>5</v>
      </c>
      <c r="G17" s="11">
        <f>IF(B17&lt;F17,"REORDER","OK")</f>
        <v/>
      </c>
    </row>
    <row r="18">
      <c r="A18" t="inlineStr">
        <is>
          <t>Whiteboard Eraser</t>
        </is>
      </c>
      <c r="B18" t="n">
        <v>5</v>
      </c>
      <c r="C18" t="inlineStr">
        <is>
          <t>pic</t>
        </is>
      </c>
      <c r="D18" s="9" t="n"/>
      <c r="E18" s="10">
        <f>B18*D18</f>
        <v/>
      </c>
      <c r="F18" s="9" t="n">
        <v>2</v>
      </c>
      <c r="G18" s="11">
        <f>IF(B18&lt;F18,"REORDER","OK")</f>
        <v/>
      </c>
    </row>
    <row r="21">
      <c r="A21" t="inlineStr">
        <is>
          <t>Highlighter</t>
        </is>
      </c>
      <c r="B21" t="n">
        <v>12</v>
      </c>
      <c r="C21" t="inlineStr">
        <is>
          <t>pic</t>
        </is>
      </c>
      <c r="D21" s="9" t="n">
        <v>150</v>
      </c>
      <c r="E21" s="10">
        <f>B21*D21</f>
        <v/>
      </c>
      <c r="F21" s="9" t="n">
        <v>5</v>
      </c>
      <c r="G21" s="11">
        <f>IF(B21&lt;F21,"REORDER","OK")</f>
        <v/>
      </c>
    </row>
    <row r="22">
      <c r="D22" s="1" t="inlineStr">
        <is>
          <t>Items to Reorder:</t>
        </is>
      </c>
      <c r="E22" s="12">
        <f>COUNTIF(G6:G18,"REORDER")</f>
        <v/>
      </c>
    </row>
    <row r="23">
      <c r="A23" t="inlineStr">
        <is>
          <t>Highlighter</t>
        </is>
      </c>
      <c r="B23" t="n">
        <v>12</v>
      </c>
      <c r="C23" t="inlineStr">
        <is>
          <t>pic</t>
        </is>
      </c>
      <c r="D23" s="9" t="n">
        <v>150</v>
      </c>
      <c r="E23" s="10">
        <f>B23*D23</f>
        <v/>
      </c>
      <c r="F23" s="9" t="n">
        <v>5</v>
      </c>
      <c r="G23" s="11">
        <f>IF(B23&lt;F23,"REORDER","OK")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topLeftCell="A16" workbookViewId="0">
      <selection activeCell="A28" sqref="A28"/>
    </sheetView>
  </sheetViews>
  <sheetFormatPr baseColWidth="8" defaultRowHeight="14.5"/>
  <cols>
    <col width="30" customWidth="1" style="15" min="1" max="1"/>
    <col width="12" customWidth="1" style="15" min="2" max="3"/>
    <col width="15" customWidth="1" style="15" min="4" max="6"/>
    <col width="12" customWidth="1" style="15" min="7" max="7"/>
  </cols>
  <sheetData>
    <row r="1" ht="18.5" customHeight="1" s="15">
      <c r="A1" s="7" t="inlineStr">
        <is>
          <t>ADMIN CLEANING INVENTORY TRACKER</t>
        </is>
      </c>
    </row>
    <row r="2">
      <c r="A2" t="inlineStr">
        <is>
          <t>Date: 20th July, 2024</t>
        </is>
      </c>
    </row>
    <row r="3">
      <c r="A3" t="inlineStr">
        <is>
          <t>Prepared by: Fatmintih Peace Amammun</t>
        </is>
      </c>
    </row>
    <row r="5">
      <c r="A5" s="13" t="inlineStr">
        <is>
          <t>Item Name</t>
        </is>
      </c>
      <c r="B5" s="13" t="inlineStr">
        <is>
          <t>Quantity</t>
        </is>
      </c>
      <c r="C5" s="13" t="inlineStr">
        <is>
          <t>Unit</t>
        </is>
      </c>
      <c r="D5" s="13" t="inlineStr">
        <is>
          <t>Unit Price (₦)</t>
        </is>
      </c>
      <c r="E5" s="13" t="inlineStr">
        <is>
          <t>Total Cost (₦)</t>
        </is>
      </c>
      <c r="F5" s="13" t="inlineStr">
        <is>
          <t>Reorder Level</t>
        </is>
      </c>
      <c r="G5" s="13" t="inlineStr">
        <is>
          <t>Status</t>
        </is>
      </c>
    </row>
    <row r="6">
      <c r="A6" t="inlineStr">
        <is>
          <t>Coffee</t>
        </is>
      </c>
      <c r="B6" t="n">
        <v>40</v>
      </c>
      <c r="C6" t="inlineStr">
        <is>
          <t>units</t>
        </is>
      </c>
      <c r="D6" s="9" t="n"/>
      <c r="E6" s="10">
        <f>B6*D6</f>
        <v/>
      </c>
      <c r="F6" s="9" t="n">
        <v>10</v>
      </c>
      <c r="G6" s="11">
        <f>IF(B6&lt;F6,"REORDER","OK")</f>
        <v/>
      </c>
    </row>
    <row r="7">
      <c r="A7" t="inlineStr">
        <is>
          <t>Handkerchief</t>
        </is>
      </c>
      <c r="B7" t="n">
        <v>17</v>
      </c>
      <c r="C7" t="inlineStr">
        <is>
          <t>pic</t>
        </is>
      </c>
      <c r="D7" s="9" t="n"/>
      <c r="E7" s="10">
        <f>B7*D7</f>
        <v/>
      </c>
      <c r="F7" s="9" t="n">
        <v>5</v>
      </c>
      <c r="G7" s="11">
        <f>IF(B7&lt;F7,"REORDER","OK")</f>
        <v/>
      </c>
    </row>
    <row r="8">
      <c r="A8" t="inlineStr">
        <is>
          <t>Window Cleaner</t>
        </is>
      </c>
      <c r="B8" t="n">
        <v>1</v>
      </c>
      <c r="C8" t="inlineStr">
        <is>
          <t>bottle</t>
        </is>
      </c>
      <c r="D8" s="9" t="n"/>
      <c r="E8" s="10">
        <f>B8*D8</f>
        <v/>
      </c>
      <c r="F8" s="9" t="n">
        <v>2</v>
      </c>
      <c r="G8" s="11">
        <f>IF(B8&lt;F8,"REORDER","OK")</f>
        <v/>
      </c>
    </row>
    <row r="9">
      <c r="A9" t="inlineStr">
        <is>
          <t>Broom</t>
        </is>
      </c>
      <c r="B9" t="inlineStr">
        <is>
          <t>17+5</t>
        </is>
      </c>
      <c r="C9" t="inlineStr">
        <is>
          <t>pic</t>
        </is>
      </c>
      <c r="D9" s="9" t="n"/>
      <c r="E9" s="10">
        <f>B9*D9</f>
        <v/>
      </c>
      <c r="F9" s="9" t="n">
        <v>5</v>
      </c>
      <c r="G9" s="11">
        <f>IF(B9&lt;F9,"REORDER","OK")</f>
        <v/>
      </c>
    </row>
    <row r="10">
      <c r="A10" t="inlineStr">
        <is>
          <t>Dustbin/Waste Bin</t>
        </is>
      </c>
      <c r="B10" t="inlineStr">
        <is>
          <t>11+8+4</t>
        </is>
      </c>
      <c r="C10" t="inlineStr">
        <is>
          <t>pic</t>
        </is>
      </c>
      <c r="D10" s="9" t="n"/>
      <c r="E10" s="10">
        <f>B10*D10</f>
        <v/>
      </c>
      <c r="F10" s="9" t="n">
        <v>5</v>
      </c>
      <c r="G10" s="11">
        <f>IF(B10&lt;F10,"REORDER","OK")</f>
        <v/>
      </c>
    </row>
    <row r="11">
      <c r="A11" t="inlineStr">
        <is>
          <t>Kitchen Broom</t>
        </is>
      </c>
      <c r="B11" t="n">
        <v>16</v>
      </c>
      <c r="C11" t="inlineStr">
        <is>
          <t>pic</t>
        </is>
      </c>
      <c r="D11" s="9" t="n"/>
      <c r="E11" s="10">
        <f>B11*D11</f>
        <v/>
      </c>
      <c r="F11" s="9" t="n">
        <v>3</v>
      </c>
      <c r="G11" s="11">
        <f>IF(B11&lt;F11,"REORDER","OK")</f>
        <v/>
      </c>
    </row>
    <row r="12">
      <c r="A12" t="inlineStr">
        <is>
          <t>Mopper</t>
        </is>
      </c>
      <c r="B12" t="n">
        <v>5</v>
      </c>
      <c r="C12" t="inlineStr">
        <is>
          <t>pic</t>
        </is>
      </c>
      <c r="D12" s="9" t="n"/>
      <c r="E12" s="10">
        <f>B12*D12</f>
        <v/>
      </c>
      <c r="F12" s="9" t="n">
        <v>2</v>
      </c>
      <c r="G12" s="11">
        <f>IF(B12&lt;F12,"REORDER","OK")</f>
        <v/>
      </c>
    </row>
    <row r="13">
      <c r="A13" t="inlineStr">
        <is>
          <t>Vim</t>
        </is>
      </c>
      <c r="B13" t="n">
        <v>6</v>
      </c>
      <c r="C13" t="inlineStr">
        <is>
          <t>bottles</t>
        </is>
      </c>
      <c r="D13" s="9" t="n">
        <v>450</v>
      </c>
      <c r="E13" s="10">
        <f>B13*D13</f>
        <v/>
      </c>
      <c r="F13" s="9" t="n">
        <v>3</v>
      </c>
      <c r="G13" s="11">
        <f>IF(B13&lt;F13,"REORDER","OK")</f>
        <v/>
      </c>
    </row>
    <row r="14">
      <c r="A14" t="inlineStr">
        <is>
          <t>Hand Towel</t>
        </is>
      </c>
      <c r="B14" t="n">
        <v>4</v>
      </c>
      <c r="C14" t="inlineStr">
        <is>
          <t>pieces</t>
        </is>
      </c>
      <c r="D14" s="9" t="n"/>
      <c r="E14" s="10">
        <f>B14*D14</f>
        <v/>
      </c>
      <c r="F14" s="9" t="n">
        <v>5</v>
      </c>
      <c r="G14" s="11">
        <f>IF(B14&lt;F14,"REORDER","OK")</f>
        <v/>
      </c>
    </row>
    <row r="15">
      <c r="A15" t="inlineStr">
        <is>
          <t>Klin Detergent</t>
        </is>
      </c>
      <c r="B15" t="n">
        <v>3</v>
      </c>
      <c r="C15" t="inlineStr">
        <is>
          <t>bottles</t>
        </is>
      </c>
      <c r="D15" s="9" t="n"/>
      <c r="E15" s="10">
        <f>B15*D15</f>
        <v/>
      </c>
      <c r="F15" s="9" t="n">
        <v>2</v>
      </c>
      <c r="G15" s="11">
        <f>IF(B15&lt;F15,"REORDER","OK")</f>
        <v/>
      </c>
    </row>
    <row r="16">
      <c r="A16" t="inlineStr">
        <is>
          <t>Mortein Killer</t>
        </is>
      </c>
      <c r="B16" t="n">
        <v>35</v>
      </c>
      <c r="C16" t="inlineStr">
        <is>
          <t>bottles</t>
        </is>
      </c>
      <c r="D16" s="9" t="n"/>
      <c r="E16" s="10">
        <f>B16*D16</f>
        <v/>
      </c>
      <c r="F16" s="9" t="n">
        <v>10</v>
      </c>
      <c r="G16" s="11">
        <f>IF(B16&lt;F16,"REORDER","OK")</f>
        <v/>
      </c>
    </row>
    <row r="17">
      <c r="A17" t="inlineStr">
        <is>
          <t>Mr Shine</t>
        </is>
      </c>
      <c r="B17" t="n">
        <v>25</v>
      </c>
      <c r="C17" t="inlineStr">
        <is>
          <t>bottles</t>
        </is>
      </c>
      <c r="D17" s="9" t="n"/>
      <c r="E17" s="10">
        <f>B17*D17</f>
        <v/>
      </c>
      <c r="F17" s="9" t="n">
        <v>5</v>
      </c>
      <c r="G17" s="11">
        <f>IF(B17&lt;F17,"REORDER","OK")</f>
        <v/>
      </c>
    </row>
    <row r="18">
      <c r="A18" t="inlineStr">
        <is>
          <t>Skill Air Freshener</t>
        </is>
      </c>
      <c r="B18" t="n">
        <v>25</v>
      </c>
      <c r="C18" t="inlineStr">
        <is>
          <t>bottles</t>
        </is>
      </c>
      <c r="D18" s="9" t="n"/>
      <c r="E18" s="10">
        <f>B18*D18</f>
        <v/>
      </c>
      <c r="F18" s="9" t="n">
        <v>5</v>
      </c>
      <c r="G18" s="11">
        <f>IF(B18&lt;F18,"REORDER","OK")</f>
        <v/>
      </c>
    </row>
    <row r="19">
      <c r="A19" t="inlineStr">
        <is>
          <t>Fabuloso Cleaning/Mopping</t>
        </is>
      </c>
      <c r="B19" t="n">
        <v>6</v>
      </c>
      <c r="C19" t="inlineStr">
        <is>
          <t>bottles</t>
        </is>
      </c>
      <c r="D19" s="9" t="n"/>
      <c r="E19" s="10">
        <f>B19*D19</f>
        <v/>
      </c>
      <c r="F19" s="9" t="n">
        <v>3</v>
      </c>
      <c r="G19" s="11">
        <f>IF(B19&lt;F19,"REORDER","OK")</f>
        <v/>
      </c>
    </row>
    <row r="20">
      <c r="A20" t="inlineStr">
        <is>
          <t>Sponge</t>
        </is>
      </c>
      <c r="B20" t="n">
        <v>12</v>
      </c>
      <c r="C20" t="inlineStr">
        <is>
          <t>pic</t>
        </is>
      </c>
      <c r="D20" s="9" t="n"/>
      <c r="E20" s="10">
        <f>B20*D20</f>
        <v/>
      </c>
      <c r="F20" s="9" t="n">
        <v>10</v>
      </c>
      <c r="G20" s="11">
        <f>IF(B20&lt;F20,"REORDER","OK")</f>
        <v/>
      </c>
    </row>
    <row r="21">
      <c r="A21" t="inlineStr">
        <is>
          <t>Toilet Brush</t>
        </is>
      </c>
      <c r="B21" t="n">
        <v>3</v>
      </c>
      <c r="C21" t="inlineStr">
        <is>
          <t>pic</t>
        </is>
      </c>
      <c r="D21" s="9" t="n"/>
      <c r="E21" s="10">
        <f>B21*D21</f>
        <v/>
      </c>
      <c r="F21" s="9" t="n">
        <v>2</v>
      </c>
      <c r="G21" s="11">
        <f>IF(B21&lt;F21,"REORDER","OK")</f>
        <v/>
      </c>
    </row>
    <row r="22">
      <c r="A22" t="inlineStr">
        <is>
          <t>Harpic</t>
        </is>
      </c>
      <c r="B22" t="n">
        <v>2.4</v>
      </c>
      <c r="C22" t="inlineStr">
        <is>
          <t>bottles</t>
        </is>
      </c>
      <c r="D22" s="9" t="n"/>
      <c r="E22" s="10">
        <f>B22*D22</f>
        <v/>
      </c>
      <c r="F22" s="9" t="n">
        <v>3</v>
      </c>
      <c r="G22" s="11">
        <f>IF(B22&lt;F22,"REORDER","OK")</f>
        <v/>
      </c>
    </row>
    <row r="23">
      <c r="A23" t="inlineStr">
        <is>
          <t>Morning Fresh</t>
        </is>
      </c>
      <c r="B23" t="n">
        <v>13</v>
      </c>
      <c r="C23" t="inlineStr">
        <is>
          <t>bottles</t>
        </is>
      </c>
      <c r="D23" s="9" t="n"/>
      <c r="E23" s="10">
        <f>B23*D23</f>
        <v/>
      </c>
      <c r="F23" s="9" t="n">
        <v>5</v>
      </c>
      <c r="G23" s="11">
        <f>IF(B23&lt;F23,"REORDER","OK")</f>
        <v/>
      </c>
    </row>
    <row r="26">
      <c r="A26" t="inlineStr">
        <is>
          <t>Floor Polish</t>
        </is>
      </c>
      <c r="B26" t="n">
        <v>3</v>
      </c>
      <c r="C26" t="inlineStr">
        <is>
          <t>bottles</t>
        </is>
      </c>
      <c r="D26" s="9" t="n">
        <v>1200</v>
      </c>
      <c r="E26" s="10">
        <f>B26*D26</f>
        <v/>
      </c>
      <c r="F26" s="9" t="n">
        <v>2</v>
      </c>
      <c r="G26" s="11">
        <f>IF(B26&lt;F26,"REORDER","OK")</f>
        <v/>
      </c>
    </row>
    <row r="27">
      <c r="D27" s="1" t="inlineStr">
        <is>
          <t>Items to Reorder:</t>
        </is>
      </c>
      <c r="E27" s="12">
        <f>COUNTIF(G6:G33,"REORDER")</f>
        <v/>
      </c>
    </row>
    <row r="28">
      <c r="A28" t="inlineStr">
        <is>
          <t>Floor Polish</t>
        </is>
      </c>
      <c r="B28" t="n">
        <v>3</v>
      </c>
      <c r="C28" t="inlineStr">
        <is>
          <t>bottles</t>
        </is>
      </c>
      <c r="D28" s="9" t="n">
        <v>1200</v>
      </c>
      <c r="E28" s="10">
        <f>B28*D28</f>
        <v/>
      </c>
      <c r="F28" s="9" t="n">
        <v>2</v>
      </c>
      <c r="G28" s="11">
        <f>IF(B28&lt;F28,"REORDER","OK")</f>
        <v/>
      </c>
    </row>
    <row r="29">
      <c r="A29" t="inlineStr">
        <is>
          <t>Jik</t>
        </is>
      </c>
      <c r="B29" t="n">
        <v>7</v>
      </c>
      <c r="C29" t="inlineStr">
        <is>
          <t>bottles</t>
        </is>
      </c>
      <c r="D29" s="9" t="n">
        <v>2600</v>
      </c>
      <c r="E29" s="10">
        <f>B29*D29</f>
        <v/>
      </c>
      <c r="F29" s="9" t="n">
        <v>5</v>
      </c>
      <c r="G29" s="11">
        <f>IF(B29&lt;F29,"REORDER","OK")</f>
        <v/>
      </c>
    </row>
    <row r="30">
      <c r="A30" t="inlineStr">
        <is>
          <t>Big HandTissue</t>
        </is>
      </c>
      <c r="B30" t="n">
        <v>89</v>
      </c>
      <c r="C30" t="inlineStr">
        <is>
          <t>pieces</t>
        </is>
      </c>
      <c r="D30" s="18" t="inlineStr">
        <is>
          <t>TOTAL:</t>
        </is>
      </c>
      <c r="E30" s="19">
        <f>SUM(E6:E28)</f>
        <v/>
      </c>
      <c r="F30" s="9" t="n">
        <v>40</v>
      </c>
      <c r="G30" s="11">
        <f>IF(B30&lt;F30,"REORDER","OK")</f>
        <v/>
      </c>
    </row>
    <row r="31">
      <c r="A31" t="inlineStr">
        <is>
          <t>Tissue Toilet paper</t>
        </is>
      </c>
      <c r="B31" t="n">
        <v>24</v>
      </c>
      <c r="C31" t="inlineStr">
        <is>
          <t>pieces</t>
        </is>
      </c>
      <c r="D31" s="18" t="inlineStr">
        <is>
          <t>Items to Reorder:</t>
        </is>
      </c>
      <c r="E31" s="20">
        <f>COUNTIF(G6:G28,"REORDER")</f>
        <v/>
      </c>
      <c r="F31" s="9" t="n">
        <v>40</v>
      </c>
      <c r="G31" s="11">
        <f>IF(B31&lt;F31,"REORDER","OK")</f>
        <v/>
      </c>
    </row>
    <row r="32">
      <c r="A32" t="inlineStr">
        <is>
          <t>Bucket</t>
        </is>
      </c>
      <c r="B32" t="n">
        <v>7</v>
      </c>
      <c r="C32" t="inlineStr">
        <is>
          <t>pieces</t>
        </is>
      </c>
      <c r="D32" s="9" t="n">
        <v>1500</v>
      </c>
      <c r="E32" s="10">
        <f>B32*D32</f>
        <v/>
      </c>
      <c r="F32" s="9" t="n">
        <v>6</v>
      </c>
      <c r="G32" s="11">
        <f>IF(B32&lt;F32,"REORDER","OK")</f>
        <v/>
      </c>
    </row>
    <row r="33">
      <c r="A33" t="inlineStr">
        <is>
          <t>Dust bin Leather</t>
        </is>
      </c>
      <c r="B33" t="n">
        <v>20</v>
      </c>
      <c r="C33" t="inlineStr">
        <is>
          <t>pieces</t>
        </is>
      </c>
      <c r="D33" s="9" t="n">
        <v>700</v>
      </c>
      <c r="E33" s="10">
        <f>B33*D33</f>
        <v/>
      </c>
      <c r="F33" s="9" t="n">
        <v>20</v>
      </c>
      <c r="G33" s="11">
        <f>IF(B33&lt;F33,"REORDER","OK")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2026-02-15T06:41:48Z</dcterms:created>
  <dcterms:modified xsi:type="dcterms:W3CDTF">2026-02-15T09:11:46Z</dcterms:modified>
  <cp:lastModifiedBy>COLLINS</cp:lastModifiedBy>
</cp:coreProperties>
</file>